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8784"/>
  </bookViews>
  <sheets>
    <sheet name="PANEL_CONTROL" sheetId="3" r:id="rId1"/>
    <sheet name="Grammar" sheetId="1" r:id="rId2"/>
    <sheet name="Subtitulos" sheetId="2" r:id="rId3"/>
    <sheet name="CALCULO" sheetId="4" r:id="rId4"/>
  </sheets>
  <calcPr calcId="162913"/>
</workbook>
</file>

<file path=xl/calcChain.xml><?xml version="1.0" encoding="utf-8"?>
<calcChain xmlns="http://schemas.openxmlformats.org/spreadsheetml/2006/main">
  <c r="B7" i="3" l="1"/>
  <c r="M13" i="3"/>
  <c r="M12" i="3"/>
  <c r="M11" i="3"/>
  <c r="M10" i="3"/>
  <c r="M9" i="3"/>
  <c r="M8" i="3"/>
  <c r="M7" i="3"/>
  <c r="M6" i="3"/>
  <c r="M5" i="3"/>
  <c r="M4" i="3"/>
  <c r="M3" i="3"/>
  <c r="C2" i="1" l="1"/>
  <c r="AB2" i="1"/>
  <c r="AA2" i="1"/>
  <c r="Y2" i="1"/>
  <c r="W2" i="1"/>
  <c r="U2" i="1"/>
  <c r="S2" i="1"/>
  <c r="R2" i="1"/>
  <c r="Q2" i="1"/>
  <c r="P2" i="1"/>
  <c r="O2" i="1"/>
  <c r="M2" i="1"/>
  <c r="K2" i="1"/>
  <c r="I2" i="1"/>
  <c r="Z2" i="1"/>
  <c r="X2" i="1"/>
  <c r="V2" i="1"/>
  <c r="T2" i="1"/>
  <c r="N2" i="1"/>
  <c r="L2" i="1"/>
  <c r="J2" i="1"/>
  <c r="H2" i="1"/>
  <c r="F2" i="1"/>
  <c r="E2" i="1"/>
  <c r="D2" i="1"/>
  <c r="B2" i="1"/>
  <c r="A2" i="1"/>
  <c r="G2" i="1"/>
  <c r="F3" i="4"/>
  <c r="F4" i="4"/>
  <c r="F5" i="4"/>
  <c r="F6" i="4"/>
  <c r="F2" i="4"/>
  <c r="C2" i="4"/>
  <c r="B3" i="2"/>
  <c r="C3" i="2"/>
  <c r="D3" i="2"/>
  <c r="E3" i="2"/>
  <c r="F3" i="2"/>
  <c r="G3" i="2"/>
  <c r="B4" i="2"/>
  <c r="C4" i="2"/>
  <c r="D4" i="2"/>
  <c r="E4" i="2"/>
  <c r="F4" i="2"/>
  <c r="G4" i="2"/>
  <c r="B5" i="2"/>
  <c r="C5" i="2"/>
  <c r="D5" i="2"/>
  <c r="E5" i="2"/>
  <c r="F5" i="2"/>
  <c r="G5" i="2"/>
  <c r="C2" i="2"/>
  <c r="D2" i="2"/>
  <c r="E2" i="2"/>
  <c r="F2" i="2"/>
  <c r="G2" i="2"/>
  <c r="B2" i="2"/>
  <c r="B2" i="4"/>
  <c r="G11" i="4" s="1"/>
  <c r="G3" i="4" l="1"/>
  <c r="H3" i="2" s="1"/>
  <c r="G7" i="4"/>
  <c r="H7" i="2" s="1"/>
  <c r="G10" i="4"/>
  <c r="G4" i="4"/>
  <c r="H4" i="2" s="1"/>
  <c r="G9" i="4"/>
  <c r="H9" i="2" s="1"/>
  <c r="G8" i="4"/>
  <c r="H8" i="2" s="1"/>
  <c r="G6" i="4"/>
  <c r="H6" i="2" s="1"/>
  <c r="G5" i="4"/>
  <c r="H5" i="2" s="1"/>
  <c r="G2" i="4"/>
  <c r="H2" i="2" s="1"/>
</calcChain>
</file>

<file path=xl/comments1.xml><?xml version="1.0" encoding="utf-8"?>
<comments xmlns="http://schemas.openxmlformats.org/spreadsheetml/2006/main">
  <authors>
    <author>Autor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url de youtube</t>
        </r>
      </text>
    </comment>
  </commentList>
</comments>
</file>

<file path=xl/sharedStrings.xml><?xml version="1.0" encoding="utf-8"?>
<sst xmlns="http://schemas.openxmlformats.org/spreadsheetml/2006/main" count="114" uniqueCount="85">
  <si>
    <t>Nivel</t>
  </si>
  <si>
    <t>Unidad</t>
  </si>
  <si>
    <t>Tema</t>
  </si>
  <si>
    <t>Título en inglés</t>
  </si>
  <si>
    <t>Título en español</t>
  </si>
  <si>
    <t>Video</t>
  </si>
  <si>
    <t>Audio de vocabulario</t>
  </si>
  <si>
    <t>Inglés 1</t>
  </si>
  <si>
    <t>Español 1</t>
  </si>
  <si>
    <t>Inglés 2</t>
  </si>
  <si>
    <t>Español 2</t>
  </si>
  <si>
    <t>Inglés 3</t>
  </si>
  <si>
    <t>Español 3</t>
  </si>
  <si>
    <t>Inglés 4</t>
  </si>
  <si>
    <t>Español 4</t>
  </si>
  <si>
    <t>Inglés 5</t>
  </si>
  <si>
    <t>Español 5</t>
  </si>
  <si>
    <t>Inglés 6</t>
  </si>
  <si>
    <t>Español 6</t>
  </si>
  <si>
    <t>Inglés 7</t>
  </si>
  <si>
    <t>Español 7</t>
  </si>
  <si>
    <t>Inglés 8</t>
  </si>
  <si>
    <t>Español 8</t>
  </si>
  <si>
    <t>Inglés 9</t>
  </si>
  <si>
    <t>Español 9</t>
  </si>
  <si>
    <t>Inglés 10</t>
  </si>
  <si>
    <t>Español 10</t>
  </si>
  <si>
    <t>Introducción general</t>
  </si>
  <si>
    <t>Número</t>
  </si>
  <si>
    <t>Subtítulo</t>
  </si>
  <si>
    <t>Introducción</t>
  </si>
  <si>
    <t>Estructura</t>
  </si>
  <si>
    <t>Ejemplo 1</t>
  </si>
  <si>
    <t>Ejemplo 2</t>
  </si>
  <si>
    <t>Ejemplo 3</t>
  </si>
  <si>
    <t>Audio</t>
  </si>
  <si>
    <t>B2+</t>
  </si>
  <si>
    <t>VERBO TO BE</t>
  </si>
  <si>
    <t>https://www.youtube.com/watch?v=3sS18ldiM5U</t>
  </si>
  <si>
    <t>Esta es la intro general</t>
  </si>
  <si>
    <t>Verbo to be 1</t>
  </si>
  <si>
    <t>Introducción to be 1</t>
  </si>
  <si>
    <t>Verbo to be 2</t>
  </si>
  <si>
    <t>Introducción to be 2</t>
  </si>
  <si>
    <t>Verbo to be 3</t>
  </si>
  <si>
    <t>Introducción to be 3</t>
  </si>
  <si>
    <t>Verbo to be 4</t>
  </si>
  <si>
    <t>Introducción to be 4</t>
  </si>
  <si>
    <t>Estructira 2</t>
  </si>
  <si>
    <t>Estructira 3</t>
  </si>
  <si>
    <t>Estructira 4</t>
  </si>
  <si>
    <t>Sujeto + verbo + complemento +  complemento</t>
  </si>
  <si>
    <t>Ejemplo 1Sujeto + verbo + complemento +  complemento</t>
  </si>
  <si>
    <t>Ejemplo 2Sujeto + verbo + complemento +  complemento</t>
  </si>
  <si>
    <t>Ejemplo 3Sujeto + verbo + complemento +  complemento</t>
  </si>
  <si>
    <t>Ejemplo 1Estructira 2</t>
  </si>
  <si>
    <t>Ejemplo 2Estructira 2</t>
  </si>
  <si>
    <t>Ejemplo 3Estructira 2</t>
  </si>
  <si>
    <t>Ejemplo 1Estructira 3</t>
  </si>
  <si>
    <t>Ejemplo 2Estructira 3</t>
  </si>
  <si>
    <t>Ejemplo 3Estructira 3</t>
  </si>
  <si>
    <t>Ejemplo 1Estructira 4</t>
  </si>
  <si>
    <t>Ejemplo 2Estructira 4</t>
  </si>
  <si>
    <t>Ejemplo 3Estructira 4</t>
  </si>
  <si>
    <t>Audios</t>
  </si>
  <si>
    <t>VERB TOBE</t>
  </si>
  <si>
    <t>Skill</t>
  </si>
  <si>
    <t>Grammar</t>
  </si>
  <si>
    <t>Número de audios</t>
  </si>
  <si>
    <t>Vocabulario</t>
  </si>
  <si>
    <t>Inglés</t>
  </si>
  <si>
    <t>Español</t>
  </si>
  <si>
    <t>AUDIOS</t>
  </si>
  <si>
    <t>Listening</t>
  </si>
  <si>
    <t>Reading</t>
  </si>
  <si>
    <t>Writing</t>
  </si>
  <si>
    <t>Speaking</t>
  </si>
  <si>
    <t>Inicial</t>
  </si>
  <si>
    <t>G</t>
  </si>
  <si>
    <t>L</t>
  </si>
  <si>
    <t>R</t>
  </si>
  <si>
    <t>S</t>
  </si>
  <si>
    <t>W</t>
  </si>
  <si>
    <t>Verbo to be 0</t>
  </si>
  <si>
    <t>Introducción to be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</si>
</sst>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1" fillId="0" borderId="1" xfId="0" applyFont="1" applyBorder="1"/>
    <xf numFmtId="0" fontId="3" fillId="0" borderId="0" xfId="1"/>
    <xf numFmtId="0" fontId="0" fillId="0" borderId="0" xfId="0" applyAlignment="1">
      <alignment horizontal="center"/>
    </xf>
    <xf numFmtId="0" fontId="0" fillId="0" borderId="0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Protection="1"/>
    <xf numFmtId="0" fontId="0" fillId="0" borderId="1" xfId="0" applyBorder="1" applyProtection="1">
      <protection locked="0"/>
    </xf>
    <xf numFmtId="0" fontId="3" fillId="0" borderId="1" xfId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2" fillId="0" borderId="1" xfId="0" applyFont="1" applyBorder="1" applyAlignment="1">
      <alignment horizontal="center"/>
    </xf>
    <xf numFmtId="0" fontId="0" fillId="0" borderId="2" xfId="0" applyBorder="1" applyProtection="1">
      <protection locked="0"/>
    </xf>
    <xf numFmtId="0" fontId="0" fillId="0" borderId="1" xfId="0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youtube.com/watch?v=3sS18ldiM5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3sS18ldiM5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9"/>
  <sheetViews>
    <sheetView tabSelected="1" workbookViewId="0">
      <selection activeCell="M18" sqref="M18"/>
    </sheetView>
  </sheetViews>
  <sheetFormatPr baseColWidth="10" defaultRowHeight="14.4" x14ac:dyDescent="0.3"/>
  <cols>
    <col min="1" max="4" width="15.77734375" customWidth="1"/>
    <col min="13" max="13" width="12.6640625" bestFit="1" customWidth="1"/>
  </cols>
  <sheetData>
    <row r="1" spans="1:18" x14ac:dyDescent="0.3">
      <c r="A1" s="4" t="s">
        <v>0</v>
      </c>
      <c r="B1" s="3" t="s">
        <v>36</v>
      </c>
      <c r="C1" s="7" t="s">
        <v>66</v>
      </c>
      <c r="D1" s="14" t="s">
        <v>67</v>
      </c>
      <c r="F1" s="15" t="s">
        <v>72</v>
      </c>
      <c r="G1" s="15"/>
      <c r="H1" s="15"/>
      <c r="I1" s="15"/>
      <c r="J1" s="15"/>
      <c r="K1" s="15"/>
      <c r="L1" s="15"/>
      <c r="M1" s="15"/>
      <c r="R1" t="s">
        <v>67</v>
      </c>
    </row>
    <row r="2" spans="1:18" x14ac:dyDescent="0.3">
      <c r="A2" s="5" t="s">
        <v>1</v>
      </c>
      <c r="B2" s="12">
        <v>5</v>
      </c>
      <c r="C2" t="s">
        <v>68</v>
      </c>
      <c r="D2" s="14">
        <v>5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R2" t="s">
        <v>73</v>
      </c>
    </row>
    <row r="3" spans="1:18" x14ac:dyDescent="0.3">
      <c r="A3" s="5" t="s">
        <v>2</v>
      </c>
      <c r="B3" s="12">
        <v>2</v>
      </c>
      <c r="D3" s="8"/>
      <c r="F3" s="17">
        <v>1</v>
      </c>
      <c r="G3" s="16" t="s">
        <v>83</v>
      </c>
      <c r="H3" s="12" t="s">
        <v>84</v>
      </c>
      <c r="I3" s="12" t="s">
        <v>51</v>
      </c>
      <c r="J3" s="12" t="s">
        <v>52</v>
      </c>
      <c r="K3" s="12" t="s">
        <v>53</v>
      </c>
      <c r="L3" s="12" t="s">
        <v>54</v>
      </c>
      <c r="M3" s="11" t="str">
        <f>IF(D$2&gt;=1,CONCATENATE("AG",".",B$2,".",B$3,".",F3,".",B$1,".mp3"))</f>
        <v>AG.5.2.1.B2+.mp3</v>
      </c>
      <c r="R3" t="s">
        <v>74</v>
      </c>
    </row>
    <row r="4" spans="1:18" x14ac:dyDescent="0.3">
      <c r="A4" s="3" t="s">
        <v>3</v>
      </c>
      <c r="B4" s="12" t="s">
        <v>65</v>
      </c>
      <c r="F4" s="10">
        <v>2</v>
      </c>
      <c r="G4" s="16" t="s">
        <v>40</v>
      </c>
      <c r="H4" s="12" t="s">
        <v>41</v>
      </c>
      <c r="I4" s="12" t="s">
        <v>51</v>
      </c>
      <c r="J4" s="12" t="s">
        <v>52</v>
      </c>
      <c r="K4" s="12" t="s">
        <v>53</v>
      </c>
      <c r="L4" s="12" t="s">
        <v>54</v>
      </c>
      <c r="M4" s="11" t="str">
        <f>IF(D$2&gt;=2,CONCATENATE("AG",".",B$2,".",B$3,".",F4,".",B$1,".mp3"))</f>
        <v>AG.5.2.2.B2+.mp3</v>
      </c>
      <c r="R4" t="s">
        <v>75</v>
      </c>
    </row>
    <row r="5" spans="1:18" x14ac:dyDescent="0.3">
      <c r="A5" s="3" t="s">
        <v>4</v>
      </c>
      <c r="B5" s="12" t="s">
        <v>37</v>
      </c>
      <c r="F5" s="17">
        <v>3</v>
      </c>
      <c r="G5" s="16" t="s">
        <v>42</v>
      </c>
      <c r="H5" s="12" t="s">
        <v>43</v>
      </c>
      <c r="I5" s="12" t="s">
        <v>48</v>
      </c>
      <c r="J5" s="12" t="s">
        <v>55</v>
      </c>
      <c r="K5" s="12" t="s">
        <v>56</v>
      </c>
      <c r="L5" s="12" t="s">
        <v>57</v>
      </c>
      <c r="M5" s="11" t="str">
        <f>IF(D$2&gt;=3,CONCATENATE("AG",".",B$2,".",B$3,".",F5,".",B$1,".mp3"),"")</f>
        <v>AG.5.2.3.B2+.mp3</v>
      </c>
      <c r="R5" t="s">
        <v>76</v>
      </c>
    </row>
    <row r="6" spans="1:18" x14ac:dyDescent="0.3">
      <c r="A6" s="3" t="s">
        <v>5</v>
      </c>
      <c r="B6" s="13" t="s">
        <v>38</v>
      </c>
      <c r="F6" s="10">
        <v>4</v>
      </c>
      <c r="G6" s="16" t="s">
        <v>44</v>
      </c>
      <c r="H6" s="12" t="s">
        <v>45</v>
      </c>
      <c r="I6" s="12" t="s">
        <v>49</v>
      </c>
      <c r="J6" s="12" t="s">
        <v>58</v>
      </c>
      <c r="K6" s="12" t="s">
        <v>59</v>
      </c>
      <c r="L6" s="12" t="s">
        <v>60</v>
      </c>
      <c r="M6" s="11" t="str">
        <f>IF(D$2&gt;=4,CONCATENATE("AG",".",B$2,".",B$3,".",F6,".",B$1,".mp3"),"")</f>
        <v>AG.5.2.4.B2+.mp3</v>
      </c>
    </row>
    <row r="7" spans="1:18" x14ac:dyDescent="0.3">
      <c r="A7" s="3" t="s">
        <v>6</v>
      </c>
      <c r="B7" s="3" t="str">
        <f>CONCATENATE("audios","/",PANEL_CONTROL!B$1,"/","Unidad_",B$2,"/","Tema_",D$2,"/",PANEL_CONTROL!D$1,"/",PANEL_CONTROL!M3)</f>
        <v>audios/B2+/Unidad_5/Tema_5/Grammar/AG.5.2.1.B2+.mp3</v>
      </c>
      <c r="F7" s="17">
        <v>5</v>
      </c>
      <c r="G7" s="16" t="s">
        <v>46</v>
      </c>
      <c r="H7" s="12" t="s">
        <v>47</v>
      </c>
      <c r="I7" s="12" t="s">
        <v>50</v>
      </c>
      <c r="J7" s="12" t="s">
        <v>61</v>
      </c>
      <c r="K7" s="12" t="s">
        <v>62</v>
      </c>
      <c r="L7" s="12" t="s">
        <v>63</v>
      </c>
      <c r="M7" s="11" t="str">
        <f>IF(D$2&gt;=5,CONCATENATE("AG",".",B$2,".",B$3,".",F7,".",B$1,".mp3"),"")</f>
        <v>AG.5.2.5.B2+.mp3</v>
      </c>
    </row>
    <row r="8" spans="1:18" x14ac:dyDescent="0.3">
      <c r="A8" s="9" t="s">
        <v>69</v>
      </c>
      <c r="B8" s="9" t="s">
        <v>70</v>
      </c>
      <c r="C8" s="9" t="s">
        <v>71</v>
      </c>
      <c r="F8" s="10">
        <v>6</v>
      </c>
      <c r="G8" s="16"/>
      <c r="H8" s="12"/>
      <c r="I8" s="12"/>
      <c r="J8" s="12"/>
      <c r="K8" s="12"/>
      <c r="L8" s="12"/>
      <c r="M8" s="11" t="str">
        <f>IF(D$2&gt;=6,CONCATENATE("AG",".",B$2,".",B$3,".",F8,".",B$1,".mp3"),"")</f>
        <v/>
      </c>
    </row>
    <row r="9" spans="1:18" x14ac:dyDescent="0.3">
      <c r="A9" s="10">
        <v>1</v>
      </c>
      <c r="B9" s="14"/>
      <c r="C9" s="14"/>
      <c r="F9" s="17">
        <v>7</v>
      </c>
      <c r="G9" s="16"/>
      <c r="H9" s="12"/>
      <c r="I9" s="12"/>
      <c r="J9" s="12"/>
      <c r="K9" s="12"/>
      <c r="L9" s="12"/>
      <c r="M9" s="11" t="str">
        <f>IF(D$2&gt;=7,CONCATENATE("AG",".",B$2,".",B$3,".",F9,".",B$1,".mp3"),"")</f>
        <v/>
      </c>
    </row>
    <row r="10" spans="1:18" x14ac:dyDescent="0.3">
      <c r="A10" s="10">
        <v>2</v>
      </c>
      <c r="B10" s="14"/>
      <c r="C10" s="14"/>
      <c r="F10" s="10">
        <v>8</v>
      </c>
      <c r="G10" s="16"/>
      <c r="H10" s="12"/>
      <c r="I10" s="12"/>
      <c r="J10" s="12"/>
      <c r="K10" s="12"/>
      <c r="L10" s="12"/>
      <c r="M10" s="11" t="str">
        <f>IF(D$2&gt;=8,CONCATENATE("AG",".",B$2,".",B$3,".",F10,".",B$1,".mp3"),"")</f>
        <v/>
      </c>
    </row>
    <row r="11" spans="1:18" x14ac:dyDescent="0.3">
      <c r="A11" s="10">
        <v>3</v>
      </c>
      <c r="B11" s="14"/>
      <c r="C11" s="14"/>
      <c r="F11" s="17">
        <v>9</v>
      </c>
      <c r="G11" s="16"/>
      <c r="H11" s="12"/>
      <c r="I11" s="12"/>
      <c r="J11" s="12"/>
      <c r="K11" s="12"/>
      <c r="L11" s="12"/>
      <c r="M11" s="11" t="str">
        <f>IF(D$2&gt;=9,CONCATENATE("AG",".",B$2,".",B$3,".",F11,".",B$1,".mp3"),"")</f>
        <v/>
      </c>
    </row>
    <row r="12" spans="1:18" x14ac:dyDescent="0.3">
      <c r="A12" s="10">
        <v>4</v>
      </c>
      <c r="B12" s="14"/>
      <c r="C12" s="14"/>
      <c r="F12" s="10">
        <v>10</v>
      </c>
      <c r="G12" s="16"/>
      <c r="H12" s="12"/>
      <c r="I12" s="12"/>
      <c r="J12" s="12"/>
      <c r="K12" s="12"/>
      <c r="L12" s="12"/>
      <c r="M12" s="11" t="str">
        <f>IF(D$2&gt;=10,CONCATENATE("AG",".",B$2,".",B$3,".",F12,".",B$1,".mp3"),"")</f>
        <v/>
      </c>
    </row>
    <row r="13" spans="1:18" x14ac:dyDescent="0.3">
      <c r="A13" s="10">
        <v>5</v>
      </c>
      <c r="B13" s="14"/>
      <c r="C13" s="14"/>
      <c r="F13" s="17">
        <v>11</v>
      </c>
      <c r="G13" s="16"/>
      <c r="H13" s="12"/>
      <c r="I13" s="12"/>
      <c r="J13" s="12"/>
      <c r="K13" s="12"/>
      <c r="L13" s="12"/>
      <c r="M13" s="11" t="str">
        <f>IF(D$2&gt;=11,CONCATENATE("AG",".",B$2,".",B$3,".",F13,".",B$1,".mp3"),"")</f>
        <v/>
      </c>
    </row>
    <row r="14" spans="1:18" x14ac:dyDescent="0.3">
      <c r="A14" s="10">
        <v>6</v>
      </c>
      <c r="B14" s="14"/>
      <c r="C14" s="14"/>
    </row>
    <row r="15" spans="1:18" x14ac:dyDescent="0.3">
      <c r="A15" s="10">
        <v>7</v>
      </c>
      <c r="B15" s="14"/>
      <c r="C15" s="14"/>
    </row>
    <row r="16" spans="1:18" x14ac:dyDescent="0.3">
      <c r="A16" s="10">
        <v>8</v>
      </c>
      <c r="B16" s="14"/>
      <c r="C16" s="14"/>
    </row>
    <row r="17" spans="1:3" x14ac:dyDescent="0.3">
      <c r="A17" s="10">
        <v>9</v>
      </c>
      <c r="B17" s="14"/>
      <c r="C17" s="14"/>
    </row>
    <row r="18" spans="1:3" x14ac:dyDescent="0.3">
      <c r="A18" s="10">
        <v>10</v>
      </c>
      <c r="B18" s="14"/>
      <c r="C18" s="14"/>
    </row>
    <row r="19" spans="1:3" x14ac:dyDescent="0.3">
      <c r="A19" s="3" t="s">
        <v>27</v>
      </c>
      <c r="B19" s="12" t="s">
        <v>39</v>
      </c>
    </row>
  </sheetData>
  <sheetProtection sheet="1" objects="1" scenarios="1"/>
  <mergeCells count="1">
    <mergeCell ref="F1:M1"/>
  </mergeCells>
  <dataValidations count="1">
    <dataValidation type="list" allowBlank="1" showInputMessage="1" showErrorMessage="1" sqref="D1">
      <formula1>$R$1:$R$5</formula1>
    </dataValidation>
  </dataValidations>
  <hyperlinks>
    <hyperlink ref="B6" r:id="rId1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Views>
    <sheetView workbookViewId="0">
      <selection activeCell="G2" sqref="G2"/>
    </sheetView>
  </sheetViews>
  <sheetFormatPr baseColWidth="10" defaultColWidth="8.88671875" defaultRowHeight="14.4" x14ac:dyDescent="0.3"/>
  <cols>
    <col min="1" max="1" width="5.21875" bestFit="1" customWidth="1"/>
    <col min="2" max="2" width="7.109375" bestFit="1" customWidth="1"/>
    <col min="3" max="3" width="5.6640625" bestFit="1" customWidth="1"/>
    <col min="4" max="4" width="13.109375" bestFit="1" customWidth="1"/>
    <col min="5" max="5" width="14.88671875" bestFit="1" customWidth="1"/>
    <col min="6" max="6" width="42.6640625" bestFit="1" customWidth="1"/>
    <col min="7" max="7" width="60.88671875" bestFit="1" customWidth="1"/>
    <col min="8" max="8" width="7.109375" bestFit="1" customWidth="1"/>
    <col min="9" max="9" width="8.77734375" bestFit="1" customWidth="1"/>
    <col min="10" max="10" width="7.109375" bestFit="1" customWidth="1"/>
    <col min="11" max="11" width="8.77734375" bestFit="1" customWidth="1"/>
    <col min="12" max="12" width="7.109375" bestFit="1" customWidth="1"/>
    <col min="13" max="13" width="8.77734375" bestFit="1" customWidth="1"/>
    <col min="14" max="14" width="7.109375" bestFit="1" customWidth="1"/>
    <col min="15" max="15" width="8.77734375" bestFit="1" customWidth="1"/>
    <col min="16" max="16" width="7.109375" bestFit="1" customWidth="1"/>
    <col min="17" max="17" width="8.77734375" bestFit="1" customWidth="1"/>
    <col min="18" max="18" width="7.109375" bestFit="1" customWidth="1"/>
    <col min="19" max="19" width="8.77734375" bestFit="1" customWidth="1"/>
    <col min="20" max="20" width="7.109375" bestFit="1" customWidth="1"/>
    <col min="21" max="21" width="8.77734375" bestFit="1" customWidth="1"/>
    <col min="22" max="22" width="7.109375" bestFit="1" customWidth="1"/>
    <col min="23" max="23" width="8.77734375" bestFit="1" customWidth="1"/>
    <col min="24" max="24" width="7.109375" bestFit="1" customWidth="1"/>
    <col min="25" max="25" width="8.77734375" bestFit="1" customWidth="1"/>
    <col min="26" max="26" width="8.109375" bestFit="1" customWidth="1"/>
    <col min="27" max="27" width="9.77734375" bestFit="1" customWidth="1"/>
    <col min="28" max="37" width="25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tr">
        <f>PANEL_CONTROL!B1</f>
        <v>B2+</v>
      </c>
      <c r="B2">
        <f>PANEL_CONTROL!B2</f>
        <v>5</v>
      </c>
      <c r="C2">
        <f>PANEL_CONTROL!B3</f>
        <v>2</v>
      </c>
      <c r="D2" t="str">
        <f>PANEL_CONTROL!B4</f>
        <v>VERB TOBE</v>
      </c>
      <c r="E2" t="str">
        <f>PANEL_CONTROL!B5</f>
        <v>VERBO TO BE</v>
      </c>
      <c r="F2" s="6" t="str">
        <f>PANEL_CONTROL!B6</f>
        <v>https://www.youtube.com/watch?v=3sS18ldiM5U</v>
      </c>
      <c r="G2" t="str">
        <f>PANEL_CONTROL!B7</f>
        <v>audios/B2+/Unidad_5/Tema_5/Grammar/AG.5.2.1.B2+.mp3</v>
      </c>
      <c r="H2">
        <f>PANEL_CONTROL!B9</f>
        <v>0</v>
      </c>
      <c r="I2">
        <f>PANEL_CONTROL!C9</f>
        <v>0</v>
      </c>
      <c r="J2">
        <f>PANEL_CONTROL!B10</f>
        <v>0</v>
      </c>
      <c r="K2">
        <f>PANEL_CONTROL!C10</f>
        <v>0</v>
      </c>
      <c r="L2">
        <f>PANEL_CONTROL!B11</f>
        <v>0</v>
      </c>
      <c r="M2">
        <f>PANEL_CONTROL!C11</f>
        <v>0</v>
      </c>
      <c r="N2">
        <f>PANEL_CONTROL!B12</f>
        <v>0</v>
      </c>
      <c r="O2">
        <f>PANEL_CONTROL!C12</f>
        <v>0</v>
      </c>
      <c r="P2">
        <f>PANEL_CONTROL!B13</f>
        <v>0</v>
      </c>
      <c r="Q2">
        <f>PANEL_CONTROL!C13</f>
        <v>0</v>
      </c>
      <c r="R2">
        <f>PANEL_CONTROL!B14</f>
        <v>0</v>
      </c>
      <c r="S2">
        <f>PANEL_CONTROL!C14</f>
        <v>0</v>
      </c>
      <c r="T2">
        <f>PANEL_CONTROL!B15</f>
        <v>0</v>
      </c>
      <c r="U2">
        <f>PANEL_CONTROL!C15</f>
        <v>0</v>
      </c>
      <c r="V2">
        <f>PANEL_CONTROL!B16</f>
        <v>0</v>
      </c>
      <c r="W2">
        <f>PANEL_CONTROL!C16</f>
        <v>0</v>
      </c>
      <c r="X2">
        <f>PANEL_CONTROL!B17</f>
        <v>0</v>
      </c>
      <c r="Y2">
        <f>PANEL_CONTROL!C17</f>
        <v>0</v>
      </c>
      <c r="Z2">
        <f>PANEL_CONTROL!B18</f>
        <v>0</v>
      </c>
      <c r="AA2">
        <f>PANEL_CONTROL!C18</f>
        <v>0</v>
      </c>
      <c r="AB2" t="str">
        <f>PANEL_CONTROL!B19</f>
        <v>Esta es la intro general</v>
      </c>
    </row>
  </sheetData>
  <sheetProtection sheet="1" objects="1" scenarios="1"/>
  <dataValidations count="2">
    <dataValidation type="list" sqref="A2">
      <formula1>"A1,A2,B1,B1+,B2,B2+,C1,C2"</formula1>
    </dataValidation>
    <dataValidation type="whole" operator="greaterThan" allowBlank="1" sqref="B2:C2">
      <formula1>0</formula1>
    </dataValidation>
  </dataValidations>
  <hyperlinks>
    <hyperlink ref="F2" r:id="rId1" display="https://www.youtube.com/watch?v=3sS18ldiM5U"/>
  </hyperlink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H14" sqref="H14"/>
    </sheetView>
  </sheetViews>
  <sheetFormatPr baseColWidth="10" defaultColWidth="8.88671875" defaultRowHeight="14.4" x14ac:dyDescent="0.3"/>
  <cols>
    <col min="1" max="1" width="12" customWidth="1"/>
    <col min="2" max="2" width="40" customWidth="1"/>
    <col min="3" max="3" width="70" customWidth="1"/>
    <col min="4" max="4" width="50" customWidth="1"/>
    <col min="5" max="8" width="40" customWidth="1"/>
  </cols>
  <sheetData>
    <row r="1" spans="1:8" x14ac:dyDescent="0.3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</row>
    <row r="2" spans="1:8" x14ac:dyDescent="0.3">
      <c r="A2">
        <v>1</v>
      </c>
      <c r="B2" t="str">
        <f>PANEL_CONTROL!G4</f>
        <v>Verbo to be 1</v>
      </c>
      <c r="C2" t="str">
        <f>PANEL_CONTROL!H4</f>
        <v>Introducción to be 1</v>
      </c>
      <c r="D2" t="str">
        <f>PANEL_CONTROL!I4</f>
        <v>Sujeto + verbo + complemento +  complemento</v>
      </c>
      <c r="E2" t="str">
        <f>PANEL_CONTROL!J4</f>
        <v>Ejemplo 1Sujeto + verbo + complemento +  complemento</v>
      </c>
      <c r="F2" t="str">
        <f>PANEL_CONTROL!K4</f>
        <v>Ejemplo 2Sujeto + verbo + complemento +  complemento</v>
      </c>
      <c r="G2" t="str">
        <f>PANEL_CONTROL!L4</f>
        <v>Ejemplo 3Sujeto + verbo + complemento +  complemento</v>
      </c>
      <c r="H2" t="str">
        <f>IF(PANEL_CONTROL!M4="","",CALCULO!G2)</f>
        <v>audios/B2+/Unidad_05/Tema_02/Grammar/AG.5.2.2.B2+.mp3</v>
      </c>
    </row>
    <row r="3" spans="1:8" x14ac:dyDescent="0.3">
      <c r="A3">
        <v>2</v>
      </c>
      <c r="B3" t="str">
        <f>PANEL_CONTROL!G5</f>
        <v>Verbo to be 2</v>
      </c>
      <c r="C3" t="str">
        <f>PANEL_CONTROL!H5</f>
        <v>Introducción to be 2</v>
      </c>
      <c r="D3" t="str">
        <f>PANEL_CONTROL!I5</f>
        <v>Estructira 2</v>
      </c>
      <c r="E3" t="str">
        <f>PANEL_CONTROL!J5</f>
        <v>Ejemplo 1Estructira 2</v>
      </c>
      <c r="F3" t="str">
        <f>PANEL_CONTROL!K5</f>
        <v>Ejemplo 2Estructira 2</v>
      </c>
      <c r="G3" t="str">
        <f>PANEL_CONTROL!L5</f>
        <v>Ejemplo 3Estructira 2</v>
      </c>
      <c r="H3" t="str">
        <f>IF(PANEL_CONTROL!M5="","",CALCULO!G3)</f>
        <v>audios/B2+/Unidad_05/Tema_02/Grammar/AG.5.2.3.B2+.mp3</v>
      </c>
    </row>
    <row r="4" spans="1:8" x14ac:dyDescent="0.3">
      <c r="A4">
        <v>3</v>
      </c>
      <c r="B4" t="str">
        <f>PANEL_CONTROL!G6</f>
        <v>Verbo to be 3</v>
      </c>
      <c r="C4" t="str">
        <f>PANEL_CONTROL!H6</f>
        <v>Introducción to be 3</v>
      </c>
      <c r="D4" t="str">
        <f>PANEL_CONTROL!I6</f>
        <v>Estructira 3</v>
      </c>
      <c r="E4" t="str">
        <f>PANEL_CONTROL!J6</f>
        <v>Ejemplo 1Estructira 3</v>
      </c>
      <c r="F4" t="str">
        <f>PANEL_CONTROL!K6</f>
        <v>Ejemplo 2Estructira 3</v>
      </c>
      <c r="G4" t="str">
        <f>PANEL_CONTROL!L6</f>
        <v>Ejemplo 3Estructira 3</v>
      </c>
      <c r="H4" t="str">
        <f>IF(PANEL_CONTROL!M6="","",CALCULO!G4)</f>
        <v>audios/B2+/Unidad_05/Tema_02/Grammar/AG.5.2.4.B2+.mp3</v>
      </c>
    </row>
    <row r="5" spans="1:8" x14ac:dyDescent="0.3">
      <c r="A5">
        <v>4</v>
      </c>
      <c r="B5" t="str">
        <f>PANEL_CONTROL!G7</f>
        <v>Verbo to be 4</v>
      </c>
      <c r="C5" t="str">
        <f>PANEL_CONTROL!H7</f>
        <v>Introducción to be 4</v>
      </c>
      <c r="D5" t="str">
        <f>PANEL_CONTROL!I7</f>
        <v>Estructira 4</v>
      </c>
      <c r="E5" t="str">
        <f>PANEL_CONTROL!J7</f>
        <v>Ejemplo 1Estructira 4</v>
      </c>
      <c r="F5" t="str">
        <f>PANEL_CONTROL!K7</f>
        <v>Ejemplo 2Estructira 4</v>
      </c>
      <c r="G5" t="str">
        <f>PANEL_CONTROL!L7</f>
        <v>Ejemplo 3Estructira 4</v>
      </c>
      <c r="H5" t="str">
        <f>IF(PANEL_CONTROL!M7="","",CALCULO!G5)</f>
        <v>audios/B2+/Unidad_05/Tema_02/Grammar/AG.5.2.5.B2+.mp3</v>
      </c>
    </row>
    <row r="6" spans="1:8" x14ac:dyDescent="0.3">
      <c r="A6">
        <v>5</v>
      </c>
      <c r="H6" t="str">
        <f>IF(PANEL_CONTROL!M8="","",CALCULO!G6)</f>
        <v/>
      </c>
    </row>
    <row r="7" spans="1:8" x14ac:dyDescent="0.3">
      <c r="A7">
        <v>6</v>
      </c>
      <c r="H7" t="str">
        <f>IF(PANEL_CONTROL!M9="","",CALCULO!G7)</f>
        <v/>
      </c>
    </row>
    <row r="8" spans="1:8" x14ac:dyDescent="0.3">
      <c r="A8">
        <v>7</v>
      </c>
      <c r="H8" t="str">
        <f>IF(PANEL_CONTROL!M10="","",CALCULO!G8)</f>
        <v/>
      </c>
    </row>
    <row r="9" spans="1:8" x14ac:dyDescent="0.3">
      <c r="A9">
        <v>8</v>
      </c>
      <c r="H9" t="str">
        <f>IF(PANEL_CONTROL!M11="","",CALCULO!G9)</f>
        <v/>
      </c>
    </row>
    <row r="10" spans="1:8" x14ac:dyDescent="0.3">
      <c r="A10">
        <v>9</v>
      </c>
    </row>
    <row r="11" spans="1:8" x14ac:dyDescent="0.3">
      <c r="A11">
        <v>10</v>
      </c>
    </row>
  </sheetData>
  <sheetProtection sheet="1" objects="1" scenarios="1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J14" sqref="J14"/>
    </sheetView>
  </sheetViews>
  <sheetFormatPr baseColWidth="10" defaultRowHeight="14.4" x14ac:dyDescent="0.3"/>
  <sheetData>
    <row r="1" spans="1:7" x14ac:dyDescent="0.3">
      <c r="B1" t="s">
        <v>1</v>
      </c>
      <c r="C1" t="s">
        <v>2</v>
      </c>
      <c r="D1" t="s">
        <v>66</v>
      </c>
      <c r="E1" t="s">
        <v>77</v>
      </c>
      <c r="G1" t="s">
        <v>64</v>
      </c>
    </row>
    <row r="2" spans="1:7" x14ac:dyDescent="0.3">
      <c r="A2">
        <v>1</v>
      </c>
      <c r="B2" t="str">
        <f>IF(PANEL_CONTROL!B2&gt;9,PANEL_CONTROL!B2,CONCATENATE(0,PANEL_CONTROL!B2))</f>
        <v>05</v>
      </c>
      <c r="C2" t="str">
        <f>IF(PANEL_CONTROL!B2&gt;9,PANEL_CONTROL!B3,CONCATENATE(0,PANEL_CONTROL!B3))</f>
        <v>02</v>
      </c>
      <c r="D2" t="s">
        <v>67</v>
      </c>
      <c r="E2" t="s">
        <v>78</v>
      </c>
      <c r="F2" t="str">
        <f>LOOKUP(PANEL_CONTROL!D$1,D$2:D$6,E$2:E$6)</f>
        <v>G</v>
      </c>
      <c r="G2" t="str">
        <f>CONCATENATE("audios","/",PANEL_CONTROL!B$1,"/","Unidad_",B$2,"/","Tema_",C$2,"/",PANEL_CONTROL!D$1,"/",PANEL_CONTROL!M4)</f>
        <v>audios/B2+/Unidad_05/Tema_02/Grammar/AG.5.2.2.B2+.mp3</v>
      </c>
    </row>
    <row r="3" spans="1:7" x14ac:dyDescent="0.3">
      <c r="A3">
        <v>2</v>
      </c>
      <c r="D3" t="s">
        <v>73</v>
      </c>
      <c r="E3" t="s">
        <v>79</v>
      </c>
      <c r="F3" t="str">
        <f>LOOKUP(PANEL_CONTROL!D$1,D$2:D$6,E$2:E$6)</f>
        <v>G</v>
      </c>
      <c r="G3" t="str">
        <f>CONCATENATE("audios","/",PANEL_CONTROL!B$1,"/","Unidad_",B$2,"/","Tema_",C$2,"/",PANEL_CONTROL!D$1,"/",PANEL_CONTROL!M5)</f>
        <v>audios/B2+/Unidad_05/Tema_02/Grammar/AG.5.2.3.B2+.mp3</v>
      </c>
    </row>
    <row r="4" spans="1:7" x14ac:dyDescent="0.3">
      <c r="A4">
        <v>3</v>
      </c>
      <c r="D4" t="s">
        <v>74</v>
      </c>
      <c r="E4" t="s">
        <v>80</v>
      </c>
      <c r="F4" t="str">
        <f>LOOKUP(PANEL_CONTROL!D$1,D$2:D$6,E$2:E$6)</f>
        <v>G</v>
      </c>
      <c r="G4" t="str">
        <f>CONCATENATE("audios","/",PANEL_CONTROL!B$1,"/","Unidad_",B$2,"/","Tema_",C$2,"/",PANEL_CONTROL!D$1,"/",PANEL_CONTROL!M6)</f>
        <v>audios/B2+/Unidad_05/Tema_02/Grammar/AG.5.2.4.B2+.mp3</v>
      </c>
    </row>
    <row r="5" spans="1:7" x14ac:dyDescent="0.3">
      <c r="A5">
        <v>4</v>
      </c>
      <c r="D5" t="s">
        <v>76</v>
      </c>
      <c r="E5" t="s">
        <v>81</v>
      </c>
      <c r="F5" t="str">
        <f>LOOKUP(PANEL_CONTROL!D$1,D$2:D$6,E$2:E$6)</f>
        <v>G</v>
      </c>
      <c r="G5" t="str">
        <f>CONCATENATE("audios","/",PANEL_CONTROL!B$1,"/","Unidad_",B$2,"/","Tema_",C$2,"/",PANEL_CONTROL!D$1,"/",PANEL_CONTROL!M7)</f>
        <v>audios/B2+/Unidad_05/Tema_02/Grammar/AG.5.2.5.B2+.mp3</v>
      </c>
    </row>
    <row r="6" spans="1:7" x14ac:dyDescent="0.3">
      <c r="A6">
        <v>5</v>
      </c>
      <c r="D6" t="s">
        <v>75</v>
      </c>
      <c r="E6" t="s">
        <v>82</v>
      </c>
      <c r="F6" t="str">
        <f>LOOKUP(PANEL_CONTROL!D$1,D$2:D$6,E$2:E$6)</f>
        <v>G</v>
      </c>
      <c r="G6" t="str">
        <f>CONCATENATE("audios","/",PANEL_CONTROL!B$1,"/","Unidad_",B$2,"/","Tema_",C$2,"/",PANEL_CONTROL!D$1,"/",PANEL_CONTROL!M8)</f>
        <v>audios/B2+/Unidad_05/Tema_02/Grammar/</v>
      </c>
    </row>
    <row r="7" spans="1:7" x14ac:dyDescent="0.3">
      <c r="A7">
        <v>6</v>
      </c>
      <c r="G7" t="str">
        <f>CONCATENATE("audios","/",PANEL_CONTROL!B$1,"/","Unidad_",B$2,"/","Tema_",C$2,"/",PANEL_CONTROL!D$1,"/",PANEL_CONTROL!M9)</f>
        <v>audios/B2+/Unidad_05/Tema_02/Grammar/</v>
      </c>
    </row>
    <row r="8" spans="1:7" x14ac:dyDescent="0.3">
      <c r="A8">
        <v>7</v>
      </c>
      <c r="G8" t="str">
        <f>CONCATENATE("audios","/",PANEL_CONTROL!B$1,"/","Unidad_",B$2,"/","Tema_",C$2,"/",PANEL_CONTROL!D$1,"/",PANEL_CONTROL!M10)</f>
        <v>audios/B2+/Unidad_05/Tema_02/Grammar/</v>
      </c>
    </row>
    <row r="9" spans="1:7" x14ac:dyDescent="0.3">
      <c r="A9">
        <v>8</v>
      </c>
      <c r="G9" t="str">
        <f>CONCATENATE("audios","/",PANEL_CONTROL!B$1,"/","Unidad_",B$2,"/","Tema_",C$2,"/",PANEL_CONTROL!D$1,"/",PANEL_CONTROL!M11)</f>
        <v>audios/B2+/Unidad_05/Tema_02/Grammar/</v>
      </c>
    </row>
    <row r="10" spans="1:7" x14ac:dyDescent="0.3">
      <c r="A10">
        <v>9</v>
      </c>
      <c r="G10" t="str">
        <f>CONCATENATE("audios","/",PANEL_CONTROL!B$1,"/","Unidad_",B$2,"/","Tema_",C$2,"/",PANEL_CONTROL!D$1,"/",PANEL_CONTROL!M12)</f>
        <v>audios/B2+/Unidad_05/Tema_02/Grammar/</v>
      </c>
    </row>
    <row r="11" spans="1:7" x14ac:dyDescent="0.3">
      <c r="A11">
        <v>10</v>
      </c>
      <c r="G11" t="str">
        <f>CONCATENATE("audios","/",PANEL_CONTROL!B$1,"/","Unidad_",B$2,"/","Tema_",C$2,"/",PANEL_CONTROL!D$1,"/",PANEL_CONTROL!M13)</f>
        <v>audios/B2+/Unidad_05/Tema_02/Grammar/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PANEL_CONTROL</vt:lpstr>
      <vt:lpstr>Grammar</vt:lpstr>
      <vt:lpstr>Subtitulos</vt:lpstr>
      <vt:lpstr>CALCULO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2026-07-20T06:49:26Z</dcterms:created>
  <dcterms:modified xsi:type="dcterms:W3CDTF">2026-07-22T15:07:40Z</dcterms:modified>
  <cp:category/>
</cp:coreProperties>
</file>